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C35442C-E78B-4B8F-B56A-5C5283E997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ug_Data" sheetId="1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2" i="3"/>
  <c r="E5" i="3"/>
  <c r="E4" i="3"/>
  <c r="E3" i="3"/>
  <c r="E2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<sst xmlns="http://schemas.openxmlformats.org/spreadsheetml/2006/main" count="189" uniqueCount="94">
  <si>
    <t>Bug_Id</t>
  </si>
  <si>
    <t>Project_Name</t>
  </si>
  <si>
    <t>Bug_Description</t>
  </si>
  <si>
    <t>Severity</t>
  </si>
  <si>
    <t>Status</t>
  </si>
  <si>
    <t>Developer</t>
  </si>
  <si>
    <t>Reported_Date</t>
  </si>
  <si>
    <t>Resolved_Date</t>
  </si>
  <si>
    <t>Resolution_Days</t>
  </si>
  <si>
    <t>Priority</t>
  </si>
  <si>
    <t>Module</t>
  </si>
  <si>
    <t>B001</t>
  </si>
  <si>
    <t>E-Commerce</t>
  </si>
  <si>
    <t>Payment failure</t>
  </si>
  <si>
    <t>Critical</t>
  </si>
  <si>
    <t>Closed</t>
  </si>
  <si>
    <t>Arun</t>
  </si>
  <si>
    <t>P1</t>
  </si>
  <si>
    <t>Payment</t>
  </si>
  <si>
    <t>B002</t>
  </si>
  <si>
    <t>Banking App</t>
  </si>
  <si>
    <t>Login error</t>
  </si>
  <si>
    <t>High</t>
  </si>
  <si>
    <t>Open</t>
  </si>
  <si>
    <t>Priya</t>
  </si>
  <si>
    <t>Authentication</t>
  </si>
  <si>
    <t>B003</t>
  </si>
  <si>
    <t>Cart item not updating</t>
  </si>
  <si>
    <t>Medium</t>
  </si>
  <si>
    <t>Karthik</t>
  </si>
  <si>
    <t>P2</t>
  </si>
  <si>
    <t>Cart</t>
  </si>
  <si>
    <t>B004</t>
  </si>
  <si>
    <t>Healthcare</t>
  </si>
  <si>
    <t>Patient record issue</t>
  </si>
  <si>
    <t>Patient Records</t>
  </si>
  <si>
    <t>B005</t>
  </si>
  <si>
    <t>Incorrect balance display</t>
  </si>
  <si>
    <t>In Progress</t>
  </si>
  <si>
    <t>Accounts</t>
  </si>
  <si>
    <t>B006</t>
  </si>
  <si>
    <t>Product image missing</t>
  </si>
  <si>
    <t>Low</t>
  </si>
  <si>
    <t>P3</t>
  </si>
  <si>
    <t>Product</t>
  </si>
  <si>
    <t>B007</t>
  </si>
  <si>
    <t>Appointment booking failure</t>
  </si>
  <si>
    <t>Divya</t>
  </si>
  <si>
    <t>Appointments</t>
  </si>
  <si>
    <t>B008</t>
  </si>
  <si>
    <t>Slow transaction response</t>
  </si>
  <si>
    <t>Transactions</t>
  </si>
  <si>
    <t>B009</t>
  </si>
  <si>
    <t>Discount calculation error</t>
  </si>
  <si>
    <t>Checkout</t>
  </si>
  <si>
    <t>B010</t>
  </si>
  <si>
    <t>Notification not received</t>
  </si>
  <si>
    <t>Notifications</t>
  </si>
  <si>
    <t>B011</t>
  </si>
  <si>
    <t>OTP not received</t>
  </si>
  <si>
    <t>B012</t>
  </si>
  <si>
    <t>Search filter not working</t>
  </si>
  <si>
    <t>Search</t>
  </si>
  <si>
    <t>B013</t>
  </si>
  <si>
    <t>Wrong doctor availability</t>
  </si>
  <si>
    <t>B014</t>
  </si>
  <si>
    <t>Transaction history missing</t>
  </si>
  <si>
    <t>B015</t>
  </si>
  <si>
    <t>Checkout page crash</t>
  </si>
  <si>
    <t>B016</t>
  </si>
  <si>
    <t>Patient search error</t>
  </si>
  <si>
    <t>B017</t>
  </si>
  <si>
    <t>Incorrect account details</t>
  </si>
  <si>
    <t>B018</t>
  </si>
  <si>
    <t>Wishlist not saving</t>
  </si>
  <si>
    <t>Wishlist</t>
  </si>
  <si>
    <t>B019</t>
  </si>
  <si>
    <t>Prescription download failure</t>
  </si>
  <si>
    <t>Prescriptions</t>
  </si>
  <si>
    <t>B020</t>
  </si>
  <si>
    <t>Mobile app logout issue</t>
  </si>
  <si>
    <t>Login</t>
  </si>
  <si>
    <t>KPI</t>
  </si>
  <si>
    <t>VALUE</t>
  </si>
  <si>
    <t>Bug Count</t>
  </si>
  <si>
    <t>dse321</t>
  </si>
  <si>
    <t>Total Bugs</t>
  </si>
  <si>
    <t>open</t>
  </si>
  <si>
    <t>Closed Bugs</t>
  </si>
  <si>
    <t>closed</t>
  </si>
  <si>
    <t>Open Bugs</t>
  </si>
  <si>
    <t>Critical Bugs</t>
  </si>
  <si>
    <t>Average Resolution Days</t>
  </si>
  <si>
    <t>Smart Bug Analysis and Monitoring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</si>
</sst>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0" fillId="0" borderId="1" xfId="0" applyFont="1" applyBorder="1"/>
  </cellXfs>
  <cellStyles count="1">
    <cellStyle name="Normal" xfId="0" builtinId="0"/>
  </cellStyles>
  <dxfs count="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Count by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Bug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summary!$D$2:$D$5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summary!$E$2:$E$5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8-4945-B509-4198AD6DC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374472"/>
        <c:axId val="1077392904"/>
      </c:barChart>
      <c:catAx>
        <c:axId val="107737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2904"/>
        <c:crosses val="autoZero"/>
        <c:auto val="1"/>
        <c:lblAlgn val="ctr"/>
        <c:lblOffset val="100"/>
        <c:noMultiLvlLbl val="0"/>
      </c:catAx>
      <c:valAx>
        <c:axId val="107739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7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Bug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Bug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summary!$G$2:$G$3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summary!$H$2:$H$3</c:f>
              <c:numCache>
                <c:formatCode>General</c:formatCode>
                <c:ptCount val="2"/>
                <c:pt idx="0">
                  <c:v>4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B-4FE2-AA3E-7830F1D24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773576"/>
        <c:axId val="1153777160"/>
      </c:barChart>
      <c:catAx>
        <c:axId val="115377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77160"/>
        <c:crosses val="autoZero"/>
        <c:auto val="1"/>
        <c:lblAlgn val="ctr"/>
        <c:lblOffset val="100"/>
        <c:noMultiLvlLbl val="0"/>
      </c:catAx>
      <c:valAx>
        <c:axId val="115377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77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1419225</xdr:colOff>
      <xdr:row>5</xdr:row>
      <xdr:rowOff>295275</xdr:rowOff>
    </xdr:from>
    <xdr:to>
      <xdr:col>6</xdr:col>
      <xdr:colOff>0</xdr:colOff>
      <xdr:row>14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2CDDE-22E6-AA47-09BA-313F21105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6</xdr:row>
      <xdr:rowOff>0</xdr:rowOff>
    </xdr:from>
    <xdr:to>
      <xdr:col>9</xdr:col>
      <xdr:colOff>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BBD609-1008-DAEC-0D0D-9EBDB8EF3278}"/>
            </a:ext>
            <a:ext uri="{147F2762-F138-4A5C-976F-8EAC2B608ADB}">
              <a16:predDERef xmlns:a16="http://schemas.microsoft.com/office/drawing/2014/main" pred="{7B22CDDE-22E6-AA47-09BA-313F21105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BF1C5-6E7B-47BE-BAE3-E3F95B6E7E6E}" name="BugTable" displayName="BugTable" ref="A1:K23" totalsRowCount="1" headerRowDxfId="4">
  <autoFilter ref="A1:K22" xr:uid="{754BF1C5-6E7B-47BE-BAE3-E3F95B6E7E6E}"/>
  <tableColumns count="11">
    <tableColumn id="1" xr3:uid="{778734F0-C5A4-4BBD-B096-D2D8DF7C9F31}" name="Bug_Id"/>
    <tableColumn id="2" xr3:uid="{74F3902B-76F3-4FC7-911B-F05CC12B1FD2}" name="Project_Name"/>
    <tableColumn id="3" xr3:uid="{86490904-EBF6-4DAA-8832-2541E34F2A40}" name="Bug_Description"/>
    <tableColumn id="4" xr3:uid="{0594A002-3B92-416C-B81D-6D90268CC46F}" name="Severity"/>
    <tableColumn id="5" xr3:uid="{4571C7A6-71A2-4410-B36F-E8E31FCFFA81}" name="Status"/>
    <tableColumn id="6" xr3:uid="{0C67D61F-9A79-4118-A2BE-1A411FE052B3}" name="Developer"/>
    <tableColumn id="7" xr3:uid="{6DE389B0-1D0B-40A2-B42F-6881CCBC3205}" name="Reported_Date" dataDxfId="2" totalsRowDxfId="3"/>
    <tableColumn id="8" xr3:uid="{CB85FB48-6F81-4D56-AF9B-A647136D79AD}" name="Resolved_Date" dataDxfId="0" totalsRowDxfId="1"/>
    <tableColumn id="9" xr3:uid="{3B1A6EC0-732E-4361-855F-19F398A287D6}" name="Resolution_Days"/>
    <tableColumn id="10" xr3:uid="{C7882EC0-D65A-4A3E-AEBD-E7B18F67F8B5}" name="Priority"/>
    <tableColumn id="11" xr3:uid="{6A40CFAF-62A8-47D3-A5D2-9CA025CE90E0}" name="Mod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J1" workbookViewId="0">
      <selection activeCell="M1" sqref="L1:M1"/>
    </sheetView>
  </sheetViews>
  <sheetFormatPr defaultColWidth="24" defaultRowHeight="26.25" customHeight="1"/>
  <cols>
    <col min="3" max="3" width="28.28515625" customWidth="1"/>
  </cols>
  <sheetData>
    <row r="1" spans="1:11" ht="2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6.2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46027</v>
      </c>
      <c r="H2" s="1">
        <v>46029</v>
      </c>
      <c r="I2">
        <v>2</v>
      </c>
      <c r="J2" t="s">
        <v>17</v>
      </c>
      <c r="K2" t="s">
        <v>18</v>
      </c>
    </row>
    <row r="3" spans="1:11" ht="26.25" customHeight="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1">
        <v>46028</v>
      </c>
      <c r="J3" t="s">
        <v>17</v>
      </c>
      <c r="K3" t="s">
        <v>25</v>
      </c>
    </row>
    <row r="4" spans="1:11" ht="26.25" customHeight="1">
      <c r="A4" t="s">
        <v>26</v>
      </c>
      <c r="B4" t="s">
        <v>12</v>
      </c>
      <c r="C4" t="s">
        <v>27</v>
      </c>
      <c r="D4" t="s">
        <v>28</v>
      </c>
      <c r="E4" t="s">
        <v>15</v>
      </c>
      <c r="F4" t="s">
        <v>29</v>
      </c>
      <c r="G4" s="1">
        <v>46030</v>
      </c>
      <c r="H4" s="1">
        <v>46032</v>
      </c>
      <c r="I4">
        <v>2</v>
      </c>
      <c r="J4" t="s">
        <v>30</v>
      </c>
      <c r="K4" t="s">
        <v>31</v>
      </c>
    </row>
    <row r="5" spans="1:11" ht="26.25" customHeight="1">
      <c r="A5" t="s">
        <v>32</v>
      </c>
      <c r="B5" t="s">
        <v>33</v>
      </c>
      <c r="C5" t="s">
        <v>34</v>
      </c>
      <c r="D5" t="s">
        <v>22</v>
      </c>
      <c r="E5" t="s">
        <v>15</v>
      </c>
      <c r="F5" t="s">
        <v>16</v>
      </c>
      <c r="G5" s="1">
        <v>46032</v>
      </c>
      <c r="H5" s="1">
        <v>46036</v>
      </c>
      <c r="I5">
        <v>4</v>
      </c>
      <c r="J5" t="s">
        <v>17</v>
      </c>
      <c r="K5" t="s">
        <v>35</v>
      </c>
    </row>
    <row r="6" spans="1:11" ht="26.25" customHeight="1">
      <c r="A6" t="s">
        <v>36</v>
      </c>
      <c r="B6" t="s">
        <v>20</v>
      </c>
      <c r="C6" t="s">
        <v>37</v>
      </c>
      <c r="D6" t="s">
        <v>14</v>
      </c>
      <c r="E6" t="s">
        <v>38</v>
      </c>
      <c r="F6" t="s">
        <v>24</v>
      </c>
      <c r="G6" s="1">
        <v>46034</v>
      </c>
      <c r="J6" t="s">
        <v>17</v>
      </c>
      <c r="K6" t="s">
        <v>39</v>
      </c>
    </row>
    <row r="7" spans="1:11" ht="26.25" customHeight="1">
      <c r="A7" t="s">
        <v>40</v>
      </c>
      <c r="B7" t="s">
        <v>12</v>
      </c>
      <c r="C7" t="s">
        <v>41</v>
      </c>
      <c r="D7" t="s">
        <v>42</v>
      </c>
      <c r="E7" t="s">
        <v>15</v>
      </c>
      <c r="F7" t="s">
        <v>29</v>
      </c>
      <c r="G7" s="1">
        <v>46037</v>
      </c>
      <c r="H7" s="1">
        <v>46038</v>
      </c>
      <c r="I7">
        <v>1</v>
      </c>
      <c r="J7" t="s">
        <v>43</v>
      </c>
      <c r="K7" t="s">
        <v>44</v>
      </c>
    </row>
    <row r="8" spans="1:11" ht="26.25" customHeight="1">
      <c r="A8" t="s">
        <v>45</v>
      </c>
      <c r="B8" t="s">
        <v>33</v>
      </c>
      <c r="C8" t="s">
        <v>46</v>
      </c>
      <c r="D8" t="s">
        <v>22</v>
      </c>
      <c r="E8" t="s">
        <v>15</v>
      </c>
      <c r="F8" t="s">
        <v>47</v>
      </c>
      <c r="G8" s="1">
        <v>46040</v>
      </c>
      <c r="H8" s="1">
        <v>46043</v>
      </c>
      <c r="I8">
        <v>3</v>
      </c>
      <c r="J8" t="s">
        <v>17</v>
      </c>
      <c r="K8" t="s">
        <v>48</v>
      </c>
    </row>
    <row r="9" spans="1:11" ht="26.25" customHeight="1">
      <c r="A9" t="s">
        <v>49</v>
      </c>
      <c r="B9" t="s">
        <v>20</v>
      </c>
      <c r="C9" t="s">
        <v>50</v>
      </c>
      <c r="D9" t="s">
        <v>28</v>
      </c>
      <c r="E9" t="s">
        <v>23</v>
      </c>
      <c r="F9" t="s">
        <v>16</v>
      </c>
      <c r="G9" s="1">
        <v>46042</v>
      </c>
      <c r="J9" t="s">
        <v>30</v>
      </c>
      <c r="K9" t="s">
        <v>51</v>
      </c>
    </row>
    <row r="10" spans="1:11" ht="26.25" customHeight="1">
      <c r="A10" t="s">
        <v>52</v>
      </c>
      <c r="B10" t="s">
        <v>12</v>
      </c>
      <c r="C10" t="s">
        <v>53</v>
      </c>
      <c r="D10" t="s">
        <v>22</v>
      </c>
      <c r="E10" t="s">
        <v>15</v>
      </c>
      <c r="F10" t="s">
        <v>24</v>
      </c>
      <c r="G10" s="1">
        <v>46044</v>
      </c>
      <c r="H10" s="1">
        <v>46047</v>
      </c>
      <c r="I10">
        <v>3</v>
      </c>
      <c r="J10" t="s">
        <v>17</v>
      </c>
      <c r="K10" t="s">
        <v>54</v>
      </c>
    </row>
    <row r="11" spans="1:11" ht="26.25" customHeight="1">
      <c r="A11" t="s">
        <v>55</v>
      </c>
      <c r="B11" t="s">
        <v>33</v>
      </c>
      <c r="C11" t="s">
        <v>56</v>
      </c>
      <c r="D11" t="s">
        <v>42</v>
      </c>
      <c r="E11" t="s">
        <v>15</v>
      </c>
      <c r="F11" t="s">
        <v>47</v>
      </c>
      <c r="G11" s="1">
        <v>46047</v>
      </c>
      <c r="H11" s="1">
        <v>46049</v>
      </c>
      <c r="I11">
        <v>2</v>
      </c>
      <c r="J11" t="s">
        <v>43</v>
      </c>
      <c r="K11" t="s">
        <v>57</v>
      </c>
    </row>
    <row r="12" spans="1:11" ht="26.25" customHeight="1">
      <c r="A12" t="s">
        <v>58</v>
      </c>
      <c r="B12" t="s">
        <v>20</v>
      </c>
      <c r="C12" t="s">
        <v>59</v>
      </c>
      <c r="D12" t="s">
        <v>14</v>
      </c>
      <c r="E12" t="s">
        <v>15</v>
      </c>
      <c r="F12" t="s">
        <v>29</v>
      </c>
      <c r="G12" s="1">
        <v>46054</v>
      </c>
      <c r="H12" s="1">
        <v>46055</v>
      </c>
      <c r="I12">
        <v>1</v>
      </c>
      <c r="J12" t="s">
        <v>17</v>
      </c>
      <c r="K12" t="s">
        <v>25</v>
      </c>
    </row>
    <row r="13" spans="1:11" ht="26.25" customHeight="1">
      <c r="A13" t="s">
        <v>60</v>
      </c>
      <c r="B13" t="s">
        <v>12</v>
      </c>
      <c r="C13" t="s">
        <v>61</v>
      </c>
      <c r="D13" t="s">
        <v>28</v>
      </c>
      <c r="E13" t="s">
        <v>38</v>
      </c>
      <c r="F13" t="s">
        <v>16</v>
      </c>
      <c r="G13" s="1">
        <v>46056</v>
      </c>
      <c r="J13" t="s">
        <v>30</v>
      </c>
      <c r="K13" t="s">
        <v>62</v>
      </c>
    </row>
    <row r="14" spans="1:11" ht="26.25" customHeight="1">
      <c r="A14" t="s">
        <v>63</v>
      </c>
      <c r="B14" t="s">
        <v>33</v>
      </c>
      <c r="C14" t="s">
        <v>64</v>
      </c>
      <c r="D14" t="s">
        <v>22</v>
      </c>
      <c r="E14" t="s">
        <v>23</v>
      </c>
      <c r="F14" t="s">
        <v>24</v>
      </c>
      <c r="G14" s="1">
        <v>46058</v>
      </c>
      <c r="J14" t="s">
        <v>17</v>
      </c>
      <c r="K14" t="s">
        <v>48</v>
      </c>
    </row>
    <row r="15" spans="1:11" ht="26.25" customHeight="1">
      <c r="A15" t="s">
        <v>65</v>
      </c>
      <c r="B15" t="s">
        <v>20</v>
      </c>
      <c r="C15" t="s">
        <v>66</v>
      </c>
      <c r="D15" t="s">
        <v>28</v>
      </c>
      <c r="E15" t="s">
        <v>15</v>
      </c>
      <c r="F15" t="s">
        <v>47</v>
      </c>
      <c r="G15" s="1">
        <v>46060</v>
      </c>
      <c r="H15" s="1">
        <v>46063</v>
      </c>
      <c r="I15">
        <v>3</v>
      </c>
      <c r="J15" t="s">
        <v>30</v>
      </c>
      <c r="K15" t="s">
        <v>51</v>
      </c>
    </row>
    <row r="16" spans="1:11" ht="26.25" customHeight="1">
      <c r="A16" t="s">
        <v>67</v>
      </c>
      <c r="B16" t="s">
        <v>12</v>
      </c>
      <c r="C16" t="s">
        <v>68</v>
      </c>
      <c r="D16" t="s">
        <v>14</v>
      </c>
      <c r="E16" t="s">
        <v>15</v>
      </c>
      <c r="F16" t="s">
        <v>29</v>
      </c>
      <c r="G16" s="1">
        <v>46063</v>
      </c>
      <c r="H16" s="1">
        <v>46065</v>
      </c>
      <c r="I16">
        <v>2</v>
      </c>
      <c r="J16" t="s">
        <v>17</v>
      </c>
      <c r="K16" t="s">
        <v>54</v>
      </c>
    </row>
    <row r="17" spans="1:11" ht="26.25" customHeight="1">
      <c r="A17" t="s">
        <v>69</v>
      </c>
      <c r="B17" t="s">
        <v>33</v>
      </c>
      <c r="C17" t="s">
        <v>70</v>
      </c>
      <c r="D17" t="s">
        <v>28</v>
      </c>
      <c r="E17" t="s">
        <v>15</v>
      </c>
      <c r="F17" t="s">
        <v>16</v>
      </c>
      <c r="G17" s="1">
        <v>46065</v>
      </c>
      <c r="H17" s="1">
        <v>46068</v>
      </c>
      <c r="I17">
        <v>3</v>
      </c>
      <c r="J17" t="s">
        <v>30</v>
      </c>
      <c r="K17" t="s">
        <v>35</v>
      </c>
    </row>
    <row r="18" spans="1:11" ht="26.25" customHeight="1">
      <c r="A18" t="s">
        <v>71</v>
      </c>
      <c r="B18" t="s">
        <v>20</v>
      </c>
      <c r="C18" t="s">
        <v>72</v>
      </c>
      <c r="D18" t="s">
        <v>22</v>
      </c>
      <c r="E18" t="s">
        <v>38</v>
      </c>
      <c r="F18" t="s">
        <v>24</v>
      </c>
      <c r="G18" s="1">
        <v>46068</v>
      </c>
      <c r="J18" t="s">
        <v>17</v>
      </c>
      <c r="K18" t="s">
        <v>39</v>
      </c>
    </row>
    <row r="19" spans="1:11" ht="26.25" customHeight="1">
      <c r="A19" t="s">
        <v>73</v>
      </c>
      <c r="B19" t="s">
        <v>12</v>
      </c>
      <c r="C19" t="s">
        <v>74</v>
      </c>
      <c r="D19" t="s">
        <v>42</v>
      </c>
      <c r="E19" t="s">
        <v>15</v>
      </c>
      <c r="F19" t="s">
        <v>47</v>
      </c>
      <c r="G19" s="1">
        <v>46071</v>
      </c>
      <c r="H19" s="1">
        <v>46072</v>
      </c>
      <c r="I19">
        <v>1</v>
      </c>
      <c r="J19" t="s">
        <v>43</v>
      </c>
      <c r="K19" t="s">
        <v>75</v>
      </c>
    </row>
    <row r="20" spans="1:11" ht="26.25" customHeight="1">
      <c r="A20" t="s">
        <v>76</v>
      </c>
      <c r="B20" t="s">
        <v>33</v>
      </c>
      <c r="C20" t="s">
        <v>77</v>
      </c>
      <c r="D20" t="s">
        <v>22</v>
      </c>
      <c r="E20" t="s">
        <v>15</v>
      </c>
      <c r="F20" t="s">
        <v>29</v>
      </c>
      <c r="G20" s="1">
        <v>46073</v>
      </c>
      <c r="H20" s="1">
        <v>46076</v>
      </c>
      <c r="I20">
        <v>3</v>
      </c>
      <c r="J20" t="s">
        <v>17</v>
      </c>
      <c r="K20" t="s">
        <v>78</v>
      </c>
    </row>
    <row r="21" spans="1:11" ht="26.25" customHeight="1">
      <c r="A21" t="s">
        <v>79</v>
      </c>
      <c r="B21" t="s">
        <v>20</v>
      </c>
      <c r="C21" t="s">
        <v>80</v>
      </c>
      <c r="D21" t="s">
        <v>28</v>
      </c>
      <c r="E21" t="s">
        <v>23</v>
      </c>
      <c r="F21" t="s">
        <v>16</v>
      </c>
      <c r="G21" s="1">
        <v>46075</v>
      </c>
      <c r="J21" t="s">
        <v>30</v>
      </c>
      <c r="K21" t="s">
        <v>81</v>
      </c>
    </row>
    <row r="22" spans="1:11" ht="26.25" customHeight="1">
      <c r="G22" s="1"/>
      <c r="H22" s="1"/>
    </row>
    <row r="23" spans="1:11" ht="26.25" customHeight="1">
      <c r="G23" s="1"/>
      <c r="H23" s="1"/>
    </row>
  </sheetData>
  <sortState xmlns:xlrd2="http://schemas.microsoft.com/office/spreadsheetml/2017/richdata2" ref="A2:C8">
    <sortCondition ref="A2:A8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AE49-219B-4CBC-851B-63CAE5F75F9E}">
  <dimension ref="A1:H8"/>
  <sheetViews>
    <sheetView workbookViewId="0">
      <selection activeCell="H2" sqref="H2"/>
    </sheetView>
  </sheetViews>
  <sheetFormatPr defaultColWidth="21.42578125" defaultRowHeight="24.75" customHeight="1"/>
  <cols>
    <col min="1" max="1" width="27.42578125" customWidth="1"/>
    <col min="2" max="2" width="18.7109375" customWidth="1"/>
    <col min="4" max="4" width="15.7109375" customWidth="1"/>
    <col min="5" max="5" width="12.7109375" customWidth="1"/>
    <col min="7" max="7" width="15.7109375" customWidth="1"/>
    <col min="8" max="8" width="12.7109375" customWidth="1"/>
  </cols>
  <sheetData>
    <row r="1" spans="1:8" ht="24.75" customHeight="1">
      <c r="A1" s="5" t="s">
        <v>82</v>
      </c>
      <c r="B1" s="5" t="s">
        <v>83</v>
      </c>
      <c r="D1" s="6" t="s">
        <v>3</v>
      </c>
      <c r="E1" s="6" t="s">
        <v>84</v>
      </c>
      <c r="G1" s="6" t="s">
        <v>85</v>
      </c>
      <c r="H1" s="6" t="s">
        <v>84</v>
      </c>
    </row>
    <row r="2" spans="1:8" ht="24.75" customHeight="1">
      <c r="A2" s="3" t="s">
        <v>86</v>
      </c>
      <c r="B2" s="7">
        <f>COUNTA(Bug_Data!A2:A22)</f>
        <v>20</v>
      </c>
      <c r="D2" t="s">
        <v>14</v>
      </c>
      <c r="E2">
        <f>COUNTIF(Bug_Data!D2:D22,D2)</f>
        <v>4</v>
      </c>
      <c r="G2" t="s">
        <v>87</v>
      </c>
      <c r="H2">
        <f>COUNTIF(Bug_Data!E2:E22,G2)</f>
        <v>4</v>
      </c>
    </row>
    <row r="3" spans="1:8" ht="24.75" customHeight="1">
      <c r="A3" s="3" t="s">
        <v>88</v>
      </c>
      <c r="B3" s="7">
        <f>COUNTIF(Bug_Data!E2:E22,"Closed")</f>
        <v>13</v>
      </c>
      <c r="D3" t="s">
        <v>22</v>
      </c>
      <c r="E3">
        <f>COUNTIF(Bug_Data!D2:D22,D3)</f>
        <v>7</v>
      </c>
      <c r="G3" t="s">
        <v>89</v>
      </c>
      <c r="H3">
        <f>COUNTIF(Bug_Data!E2:E22,G3)</f>
        <v>13</v>
      </c>
    </row>
    <row r="4" spans="1:8" ht="24.75" customHeight="1">
      <c r="A4" s="3" t="s">
        <v>90</v>
      </c>
      <c r="B4" s="7">
        <f>COUNTIF(Bug_Data!E2:E22,"Open")</f>
        <v>4</v>
      </c>
      <c r="D4" t="s">
        <v>28</v>
      </c>
      <c r="E4">
        <f>COUNTIF(Bug_Data!D2:D22,D4)</f>
        <v>6</v>
      </c>
    </row>
    <row r="5" spans="1:8" ht="24.75" customHeight="1">
      <c r="A5" s="3" t="s">
        <v>91</v>
      </c>
      <c r="B5" s="7">
        <f>COUNTIF(Bug_Data!D2:D22,"Critical")</f>
        <v>4</v>
      </c>
      <c r="D5" t="s">
        <v>42</v>
      </c>
      <c r="E5">
        <f>COUNTIF(Bug_Data!D2:D22,D5)</f>
        <v>3</v>
      </c>
    </row>
    <row r="6" spans="1:8" ht="24.75" customHeight="1">
      <c r="A6" s="3" t="s">
        <v>92</v>
      </c>
      <c r="B6" s="7">
        <f>AVERAGE(Bug_Data!I2:I22)</f>
        <v>2.3076923076923075</v>
      </c>
    </row>
    <row r="8" spans="1:8" ht="24.75" customHeight="1">
      <c r="A8" s="4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2026-09-19T06:47:50Z</dcterms:created>
  <dcterms:modified xsi:type="dcterms:W3CDTF">2026-09-20T13:53:38Z</dcterms:modified>
  <cp:category/>
  <cp:contentStatus/>
</cp:coreProperties>
</file>